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<sst xmlns="http://schemas.openxmlformats.org/spreadsheetml/2006/main" count="128" uniqueCount="118">
  <si>
    <t xml:space="preserve">DoublYellow — Financial Model Assumptions</t>
  </si>
  <si>
    <t xml:space="preserve">Blue = input  |  Black = formula  |  Edit blue cells to run scenarios</t>
  </si>
  <si>
    <t xml:space="preserve">Assumption</t>
  </si>
  <si>
    <t xml:space="preserve">Year 1</t>
  </si>
  <si>
    <t xml:space="preserve">Year 2</t>
  </si>
  <si>
    <t xml:space="preserve">Year 3</t>
  </si>
  <si>
    <t xml:space="preserve">Notes</t>
  </si>
  <si>
    <t xml:space="preserve">USER GROWTH</t>
  </si>
  <si>
    <t xml:space="preserve">Starting active users (base)</t>
  </si>
  <si>
    <t xml:space="preserve">Conservative scenario</t>
  </si>
  <si>
    <t xml:space="preserve">Peak active users (year-end)</t>
  </si>
  <si>
    <t xml:space="preserve">Average MAU (mid-point used)</t>
  </si>
  <si>
    <t xml:space="preserve">(start+end)/2</t>
  </si>
  <si>
    <t xml:space="preserve">Premium conversion rate (%)</t>
  </si>
  <si>
    <t xml:space="preserve">5-12% is typical freemium</t>
  </si>
  <si>
    <t xml:space="preserve">Avg premium MAU</t>
  </si>
  <si>
    <t xml:space="preserve">MAU × conversion rate</t>
  </si>
  <si>
    <t xml:space="preserve">REVENUE — SUBSCRIPTIONS</t>
  </si>
  <si>
    <t xml:space="preserve">Monthly subscription price (£)</t>
  </si>
  <si>
    <t xml:space="preserve">£2.99/mo launch price</t>
  </si>
  <si>
    <t xml:space="preserve">Annual subscription price (£)</t>
  </si>
  <si>
    <t xml:space="preserve">£24.99/yr (save ~30%)</t>
  </si>
  <si>
    <t xml:space="preserve">% subscribers on annual plan</t>
  </si>
  <si>
    <t xml:space="preserve">Annual better for cash flow</t>
  </si>
  <si>
    <t xml:space="preserve">Effective monthly ARPU (£)</t>
  </si>
  <si>
    <t xml:space="preserve">blended: mo+(ann/12)×mix</t>
  </si>
  <si>
    <t xml:space="preserve">REVENUE — ADVERTISING</t>
  </si>
  <si>
    <t xml:space="preserve">Ad-supported DAU (free tier)</t>
  </si>
  <si>
    <t xml:space="preserve">MAU × 0.95 × 0.5 DAU ratio</t>
  </si>
  <si>
    <t xml:space="preserve">eCPM (£ per 1,000 impressions)</t>
  </si>
  <si>
    <t xml:space="preserve">UK geo premium</t>
  </si>
  <si>
    <t xml:space="preserve">Ad impressions per DAU per day</t>
  </si>
  <si>
    <t xml:space="preserve">3 banner/interstitial/day</t>
  </si>
  <si>
    <t xml:space="preserve">COST ASSUMPTIONS</t>
  </si>
  <si>
    <t xml:space="preserve">Supabase (database+auth) / mo (£)</t>
  </si>
  <si>
    <t xml:space="preserve">Pro plan scales</t>
  </si>
  <si>
    <t xml:space="preserve">RevenueCat IAP fee (% of sub rev)</t>
  </si>
  <si>
    <t xml:space="preserve">~1% after first $2.5k/mo</t>
  </si>
  <si>
    <t xml:space="preserve">App store fee (% of sub rev)</t>
  </si>
  <si>
    <t xml:space="preserve">Apple/Google 30% (15% small dev yr1)</t>
  </si>
  <si>
    <t xml:space="preserve">Push notifications (OneSignal) / mo</t>
  </si>
  <si>
    <t xml:space="preserve">Free up to 10k subs</t>
  </si>
  <si>
    <t xml:space="preserve">Marketing spend (from investment £)</t>
  </si>
  <si>
    <t xml:space="preserve">£80k Y1 from raise</t>
  </si>
  <si>
    <t xml:space="preserve">Dev / tech contractor costs (£/yr)</t>
  </si>
  <si>
    <t xml:space="preserve">From investment Y1</t>
  </si>
  <si>
    <t xml:space="preserve">Toby salary (£/yr)</t>
  </si>
  <si>
    <t xml:space="preserve">Y1 sweat equity</t>
  </si>
  <si>
    <t xml:space="preserve">Legal / admin / accountancy (£/yr)</t>
  </si>
  <si>
    <t xml:space="preserve">Other overheads (£/yr)</t>
  </si>
  <si>
    <t xml:space="preserve">domain, tools, misc</t>
  </si>
  <si>
    <t xml:space="preserve">INVESTMENT</t>
  </si>
  <si>
    <t xml:space="preserve">Investment raised (£)</t>
  </si>
  <si>
    <t xml:space="preserve">£150k seed round</t>
  </si>
  <si>
    <t xml:space="preserve">Equity given (%)</t>
  </si>
  <si>
    <t xml:space="preserve">10% to investors</t>
  </si>
  <si>
    <t xml:space="preserve">Pre-money valuation (£)</t>
  </si>
  <si>
    <t xml:space="preserve">£1.35M pre-money</t>
  </si>
  <si>
    <t xml:space="preserve">DoublYellow — Profit &amp; Loss Projection (Years 1–3)</t>
  </si>
  <si>
    <t xml:space="preserve">All figures in GBP (£). Figures derived from Assumptions sheet. Green = formula. Blue = hardcode.</t>
  </si>
  <si>
    <t xml:space="preserve">REVENUE</t>
  </si>
  <si>
    <t xml:space="preserve">Subscription revenue</t>
  </si>
  <si>
    <t xml:space="preserve">Avg premium MAU × ARPU × 12</t>
  </si>
  <si>
    <t xml:space="preserve">Advertising revenue</t>
  </si>
  <si>
    <t xml:space="preserve">DAU × eCPM/1000 × impr/day × 365</t>
  </si>
  <si>
    <t xml:space="preserve">TOTAL REVENUE</t>
  </si>
  <si>
    <t xml:space="preserve">COST OF REVENUE (COGS)</t>
  </si>
  <si>
    <t xml:space="preserve">Supabase (database &amp; auth)</t>
  </si>
  <si>
    <t xml:space="preserve">Monthly fee × 12</t>
  </si>
  <si>
    <t xml:space="preserve">RevenueCat IAP platform fee</t>
  </si>
  <si>
    <t xml:space="preserve">~1% of sub revenue</t>
  </si>
  <si>
    <t xml:space="preserve">App store commission (Apple/Google)</t>
  </si>
  <si>
    <t xml:space="preserve">30% of sub rev (15% small dev)</t>
  </si>
  <si>
    <t xml:space="preserve">Push notifications (OneSignal)</t>
  </si>
  <si>
    <t xml:space="preserve">Free to 10k, then paid</t>
  </si>
  <si>
    <t xml:space="preserve">TOTAL COGS</t>
  </si>
  <si>
    <t xml:space="preserve">GROSS PROFIT</t>
  </si>
  <si>
    <t xml:space="preserve">Gross margin (%)</t>
  </si>
  <si>
    <t xml:space="preserve">Gross profit ÷ total revenue</t>
  </si>
  <si>
    <t xml:space="preserve">OPERATING EXPENSES (OPEX)</t>
  </si>
  <si>
    <t xml:space="preserve">Marketing &amp; user acquisition</t>
  </si>
  <si>
    <t xml:space="preserve">Dev / tech contractor costs</t>
  </si>
  <si>
    <t xml:space="preserve">£32k Y1 from raise</t>
  </si>
  <si>
    <t xml:space="preserve">Toby salary</t>
  </si>
  <si>
    <t xml:space="preserve">Y1 = £0 sweat equity</t>
  </si>
  <si>
    <t xml:space="preserve">Legal / admin / accountancy</t>
  </si>
  <si>
    <t xml:space="preserve">Other overheads</t>
  </si>
  <si>
    <t xml:space="preserve">Domain, tools, misc</t>
  </si>
  <si>
    <t xml:space="preserve">TOTAL OPEX</t>
  </si>
  <si>
    <t xml:space="preserve">EBITDA (Operating profit/loss)</t>
  </si>
  <si>
    <t xml:space="preserve">EBITDA margin (%)</t>
  </si>
  <si>
    <t xml:space="preserve">EBITDA ÷ total revenue</t>
  </si>
  <si>
    <t xml:space="preserve">BELOW THE LINE</t>
  </si>
  <si>
    <t xml:space="preserve">Tax (corporation tax ~19%)</t>
  </si>
  <si>
    <t xml:space="preserve">Only if profitable; 19% CT</t>
  </si>
  <si>
    <t xml:space="preserve">NET PROFIT / (LOSS)</t>
  </si>
  <si>
    <t xml:space="preserve">Net margin (%)</t>
  </si>
  <si>
    <t xml:space="preserve">Net profit ÷ total revenue</t>
  </si>
  <si>
    <t xml:space="preserve">CASH POSITION</t>
  </si>
  <si>
    <t xml:space="preserve">Opening cash</t>
  </si>
  <si>
    <t xml:space="preserve">Y1 = investment raised</t>
  </si>
  <si>
    <t xml:space="preserve">Closing cash (opening + net profit)</t>
  </si>
  <si>
    <t xml:space="preserve">Runway indicator</t>
  </si>
  <si>
    <t xml:space="preserve">DoublYellow — Scenario Comparison (Year 1 Snapshot)</t>
  </si>
  <si>
    <t xml:space="preserve">Metric</t>
  </si>
  <si>
    <t xml:space="preserve">Bear Case</t>
  </si>
  <si>
    <t xml:space="preserve">Base Case</t>
  </si>
  <si>
    <t xml:space="preserve">Bull Case</t>
  </si>
  <si>
    <t xml:space="preserve">Active users Y1 (avg)</t>
  </si>
  <si>
    <t xml:space="preserve">Premium conv. rate</t>
  </si>
  <si>
    <t xml:space="preserve">ARPU (blended £/mo)</t>
  </si>
  <si>
    <t xml:space="preserve">Sub revenue (£)</t>
  </si>
  <si>
    <t xml:space="preserve">Ad revenue (£)</t>
  </si>
  <si>
    <t xml:space="preserve">COGS (£)</t>
  </si>
  <si>
    <t xml:space="preserve">OPEX (£)</t>
  </si>
  <si>
    <t xml:space="preserve">EBITDA</t>
  </si>
  <si>
    <t xml:space="preserve">Investment cash</t>
  </si>
  <si>
    <t xml:space="preserve">Closing cash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</si>
</sst>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\£#,##0.0;&quot;(£&quot;#,##0.0\);\-"/>
    <numFmt numFmtId="168" formatCode="\£#,##0;&quot;(£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D7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D7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1A1A1A"/>
        <bgColor rgb="FF0D0D0D"/>
      </patternFill>
    </fill>
    <fill>
      <patternFill patternType="solid">
        <fgColor rgb="FF333333"/>
        <bgColor rgb="FF2A2A2A"/>
      </patternFill>
    </fill>
    <fill>
      <patternFill patternType="solid">
        <fgColor rgb="FFF2F2F2"/>
        <bgColor rgb="FFEBF3FF"/>
      </patternFill>
    </fill>
    <fill>
      <patternFill patternType="solid">
        <fgColor rgb="FFEBF3FF"/>
        <bgColor rgb="FFF2F2F2"/>
      </patternFill>
    </fill>
    <fill>
      <patternFill patternType="solid">
        <fgColor rgb="FF2A2A2A"/>
        <bgColor rgb="FF333333"/>
      </patternFill>
    </fill>
    <fill>
      <patternFill patternType="solid">
        <fgColor rgb="FFFFD700"/>
        <bgColor rgb="FFFFFF00"/>
      </patternFill>
    </fill>
    <fill>
      <patternFill patternType="solid">
        <fgColor rgb="FFE8F5E9"/>
        <bgColor rgb="FFF2F2F2"/>
      </patternFill>
    </fill>
    <fill>
      <patternFill patternType="solid">
        <fgColor rgb="FFFFEBEE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1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1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0D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1A1A1A"/>
      <rgbColor rgb="FF2A2A2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21.75" hidden="false" customHeight="true" outlineLevel="0" collapsed="false">
      <c r="A4" s="5" t="s">
        <v>7</v>
      </c>
      <c r="B4" s="5"/>
      <c r="C4" s="5"/>
      <c r="D4" s="5"/>
      <c r="E4" s="5"/>
    </row>
    <row r="5" customFormat="false" ht="18" hidden="false" customHeight="true" outlineLevel="0" collapsed="false">
      <c r="A5" s="6" t="s">
        <v>8</v>
      </c>
      <c r="B5" s="7" t="n">
        <v>500</v>
      </c>
      <c r="C5" s="7" t="n">
        <v>5000</v>
      </c>
      <c r="D5" s="7" t="n">
        <v>30000</v>
      </c>
      <c r="E5" s="8" t="s">
        <v>9</v>
      </c>
    </row>
    <row r="6" customFormat="false" ht="18" hidden="false" customHeight="true" outlineLevel="0" collapsed="false">
      <c r="A6" s="6" t="s">
        <v>10</v>
      </c>
      <c r="B6" s="7" t="n">
        <v>5000</v>
      </c>
      <c r="C6" s="7" t="n">
        <v>30000</v>
      </c>
      <c r="D6" s="7" t="n">
        <v>150000</v>
      </c>
      <c r="E6" s="8" t="s">
        <v>9</v>
      </c>
    </row>
    <row r="7" customFormat="false" ht="18" hidden="false" customHeight="true" outlineLevel="0" collapsed="false">
      <c r="A7" s="6" t="s">
        <v>11</v>
      </c>
      <c r="B7" s="7" t="n">
        <v>2750</v>
      </c>
      <c r="C7" s="7" t="n">
        <v>17500</v>
      </c>
      <c r="D7" s="7" t="n">
        <v>90000</v>
      </c>
      <c r="E7" s="8" t="s">
        <v>12</v>
      </c>
    </row>
    <row r="8" customFormat="false" ht="18" hidden="false" customHeight="true" outlineLevel="0" collapsed="false">
      <c r="A8" s="6" t="s">
        <v>13</v>
      </c>
      <c r="B8" s="9" t="n">
        <v>0.05</v>
      </c>
      <c r="C8" s="9" t="n">
        <v>0.08</v>
      </c>
      <c r="D8" s="9" t="n">
        <v>0.12</v>
      </c>
      <c r="E8" s="8" t="s">
        <v>14</v>
      </c>
    </row>
    <row r="9" customFormat="false" ht="18" hidden="false" customHeight="true" outlineLevel="0" collapsed="false">
      <c r="A9" s="6" t="s">
        <v>15</v>
      </c>
      <c r="B9" s="7" t="n">
        <v>138</v>
      </c>
      <c r="C9" s="7" t="n">
        <v>1400</v>
      </c>
      <c r="D9" s="7" t="n">
        <v>10800</v>
      </c>
      <c r="E9" s="8" t="s">
        <v>16</v>
      </c>
    </row>
    <row r="10" customFormat="false" ht="21.75" hidden="false" customHeight="true" outlineLevel="0" collapsed="false">
      <c r="A10" s="5" t="s">
        <v>17</v>
      </c>
      <c r="B10" s="5"/>
      <c r="C10" s="5"/>
      <c r="D10" s="5"/>
      <c r="E10" s="5"/>
    </row>
    <row r="11" customFormat="false" ht="18" hidden="false" customHeight="true" outlineLevel="0" collapsed="false">
      <c r="A11" s="6" t="s">
        <v>18</v>
      </c>
      <c r="B11" s="10" t="n">
        <v>2.99</v>
      </c>
      <c r="C11" s="10" t="n">
        <v>2.99</v>
      </c>
      <c r="D11" s="10" t="n">
        <v>2.99</v>
      </c>
      <c r="E11" s="8" t="s">
        <v>19</v>
      </c>
    </row>
    <row r="12" customFormat="false" ht="18" hidden="false" customHeight="true" outlineLevel="0" collapsed="false">
      <c r="A12" s="6" t="s">
        <v>20</v>
      </c>
      <c r="B12" s="10" t="n">
        <v>24.99</v>
      </c>
      <c r="C12" s="10" t="n">
        <v>24.99</v>
      </c>
      <c r="D12" s="10" t="n">
        <v>24.99</v>
      </c>
      <c r="E12" s="8" t="s">
        <v>21</v>
      </c>
    </row>
    <row r="13" customFormat="false" ht="18" hidden="false" customHeight="true" outlineLevel="0" collapsed="false">
      <c r="A13" s="6" t="s">
        <v>22</v>
      </c>
      <c r="B13" s="9" t="n">
        <v>0.3</v>
      </c>
      <c r="C13" s="9" t="n">
        <v>0.35</v>
      </c>
      <c r="D13" s="9" t="n">
        <v>0.4</v>
      </c>
      <c r="E13" s="8" t="s">
        <v>23</v>
      </c>
    </row>
    <row r="14" customFormat="false" ht="18" hidden="false" customHeight="true" outlineLevel="0" collapsed="false">
      <c r="A14" s="6" t="s">
        <v>24</v>
      </c>
      <c r="B14" s="10" t="n">
        <v>2.74</v>
      </c>
      <c r="C14" s="10" t="n">
        <v>2.69</v>
      </c>
      <c r="D14" s="10" t="n">
        <v>2.64</v>
      </c>
      <c r="E14" s="8" t="s">
        <v>25</v>
      </c>
    </row>
    <row r="15" customFormat="false" ht="21.75" hidden="false" customHeight="true" outlineLevel="0" collapsed="false">
      <c r="A15" s="5" t="s">
        <v>26</v>
      </c>
      <c r="B15" s="5"/>
      <c r="C15" s="5"/>
      <c r="D15" s="5"/>
      <c r="E15" s="5"/>
    </row>
    <row r="16" customFormat="false" ht="18" hidden="false" customHeight="true" outlineLevel="0" collapsed="false">
      <c r="A16" s="6" t="s">
        <v>27</v>
      </c>
      <c r="B16" s="7" t="n">
        <v>2612</v>
      </c>
      <c r="C16" s="7" t="n">
        <v>16100</v>
      </c>
      <c r="D16" s="7" t="n">
        <v>79200</v>
      </c>
      <c r="E16" s="8" t="s">
        <v>28</v>
      </c>
    </row>
    <row r="17" customFormat="false" ht="18" hidden="false" customHeight="true" outlineLevel="0" collapsed="false">
      <c r="A17" s="6" t="s">
        <v>29</v>
      </c>
      <c r="B17" s="10" t="n">
        <v>1.5</v>
      </c>
      <c r="C17" s="10" t="n">
        <v>1.8</v>
      </c>
      <c r="D17" s="10" t="n">
        <v>2.2</v>
      </c>
      <c r="E17" s="8" t="s">
        <v>30</v>
      </c>
    </row>
    <row r="18" customFormat="false" ht="18" hidden="false" customHeight="true" outlineLevel="0" collapsed="false">
      <c r="A18" s="6" t="s">
        <v>31</v>
      </c>
      <c r="B18" s="7" t="n">
        <v>3</v>
      </c>
      <c r="C18" s="7" t="n">
        <v>3</v>
      </c>
      <c r="D18" s="7" t="n">
        <v>3</v>
      </c>
      <c r="E18" s="8" t="s">
        <v>32</v>
      </c>
    </row>
    <row r="19" customFormat="false" ht="21.75" hidden="false" customHeight="true" outlineLevel="0" collapsed="false">
      <c r="A19" s="5" t="s">
        <v>33</v>
      </c>
      <c r="B19" s="5"/>
      <c r="C19" s="5"/>
      <c r="D19" s="5"/>
      <c r="E19" s="5"/>
    </row>
    <row r="20" customFormat="false" ht="18" hidden="false" customHeight="true" outlineLevel="0" collapsed="false">
      <c r="A20" s="6" t="s">
        <v>34</v>
      </c>
      <c r="B20" s="11" t="n">
        <v>50</v>
      </c>
      <c r="C20" s="11" t="n">
        <v>200</v>
      </c>
      <c r="D20" s="11" t="n">
        <v>600</v>
      </c>
      <c r="E20" s="8" t="s">
        <v>35</v>
      </c>
    </row>
    <row r="21" customFormat="false" ht="18" hidden="false" customHeight="true" outlineLevel="0" collapsed="false">
      <c r="A21" s="6" t="s">
        <v>36</v>
      </c>
      <c r="B21" s="9" t="n">
        <v>0.01</v>
      </c>
      <c r="C21" s="9" t="n">
        <v>0.01</v>
      </c>
      <c r="D21" s="9" t="n">
        <v>0.01</v>
      </c>
      <c r="E21" s="8" t="s">
        <v>37</v>
      </c>
    </row>
    <row r="22" customFormat="false" ht="18" hidden="false" customHeight="true" outlineLevel="0" collapsed="false">
      <c r="A22" s="6" t="s">
        <v>38</v>
      </c>
      <c r="B22" s="9" t="n">
        <v>0.3</v>
      </c>
      <c r="C22" s="9" t="n">
        <v>0.3</v>
      </c>
      <c r="D22" s="9" t="n">
        <v>0.3</v>
      </c>
      <c r="E22" s="8" t="s">
        <v>39</v>
      </c>
    </row>
    <row r="23" customFormat="false" ht="18" hidden="false" customHeight="true" outlineLevel="0" collapsed="false">
      <c r="A23" s="6" t="s">
        <v>40</v>
      </c>
      <c r="B23" s="11" t="n">
        <v>0</v>
      </c>
      <c r="C23" s="11" t="n">
        <v>0</v>
      </c>
      <c r="D23" s="11" t="n">
        <v>99</v>
      </c>
      <c r="E23" s="8" t="s">
        <v>41</v>
      </c>
    </row>
    <row r="24" customFormat="false" ht="18" hidden="false" customHeight="true" outlineLevel="0" collapsed="false">
      <c r="A24" s="6" t="s">
        <v>42</v>
      </c>
      <c r="B24" s="11" t="n">
        <v>80000</v>
      </c>
      <c r="C24" s="11" t="n">
        <v>40000</v>
      </c>
      <c r="D24" s="11" t="n">
        <v>60000</v>
      </c>
      <c r="E24" s="8" t="s">
        <v>43</v>
      </c>
    </row>
    <row r="25" customFormat="false" ht="18" hidden="false" customHeight="true" outlineLevel="0" collapsed="false">
      <c r="A25" s="6" t="s">
        <v>44</v>
      </c>
      <c r="B25" s="11" t="n">
        <v>32000</v>
      </c>
      <c r="C25" s="11" t="n">
        <v>24000</v>
      </c>
      <c r="D25" s="11" t="n">
        <v>48000</v>
      </c>
      <c r="E25" s="8" t="s">
        <v>45</v>
      </c>
    </row>
    <row r="26" customFormat="false" ht="18" hidden="false" customHeight="true" outlineLevel="0" collapsed="false">
      <c r="A26" s="6" t="s">
        <v>46</v>
      </c>
      <c r="B26" s="11" t="n">
        <v>0</v>
      </c>
      <c r="C26" s="11" t="n">
        <v>30000</v>
      </c>
      <c r="D26" s="11" t="n">
        <v>45000</v>
      </c>
      <c r="E26" s="8" t="s">
        <v>47</v>
      </c>
    </row>
    <row r="27" customFormat="false" ht="18" hidden="false" customHeight="true" outlineLevel="0" collapsed="false">
      <c r="A27" s="6" t="s">
        <v>48</v>
      </c>
      <c r="B27" s="11" t="n">
        <v>5000</v>
      </c>
      <c r="C27" s="11" t="n">
        <v>6000</v>
      </c>
      <c r="D27" s="11" t="n">
        <v>8000</v>
      </c>
      <c r="E27" s="8"/>
    </row>
    <row r="28" customFormat="false" ht="18" hidden="false" customHeight="true" outlineLevel="0" collapsed="false">
      <c r="A28" s="6" t="s">
        <v>49</v>
      </c>
      <c r="B28" s="11" t="n">
        <v>3000</v>
      </c>
      <c r="C28" s="11" t="n">
        <v>5000</v>
      </c>
      <c r="D28" s="11" t="n">
        <v>8000</v>
      </c>
      <c r="E28" s="8" t="s">
        <v>50</v>
      </c>
    </row>
    <row r="29" customFormat="false" ht="21.75" hidden="false" customHeight="true" outlineLevel="0" collapsed="false">
      <c r="A29" s="5" t="s">
        <v>51</v>
      </c>
      <c r="B29" s="5"/>
      <c r="C29" s="5"/>
      <c r="D29" s="5"/>
      <c r="E29" s="5"/>
    </row>
    <row r="30" customFormat="false" ht="18" hidden="false" customHeight="true" outlineLevel="0" collapsed="false">
      <c r="A30" s="6" t="s">
        <v>52</v>
      </c>
      <c r="B30" s="11" t="n">
        <v>150000</v>
      </c>
      <c r="C30" s="11" t="n">
        <v>0</v>
      </c>
      <c r="D30" s="11" t="n">
        <v>0</v>
      </c>
      <c r="E30" s="8" t="s">
        <v>53</v>
      </c>
    </row>
    <row r="31" customFormat="false" ht="18" hidden="false" customHeight="true" outlineLevel="0" collapsed="false">
      <c r="A31" s="6" t="s">
        <v>54</v>
      </c>
      <c r="B31" s="9" t="n">
        <v>0.1</v>
      </c>
      <c r="C31" s="9" t="n">
        <v>0</v>
      </c>
      <c r="D31" s="9" t="n">
        <v>0</v>
      </c>
      <c r="E31" s="8" t="s">
        <v>55</v>
      </c>
    </row>
    <row r="32" customFormat="false" ht="18" hidden="false" customHeight="true" outlineLevel="0" collapsed="false">
      <c r="A32" s="6" t="s">
        <v>56</v>
      </c>
      <c r="B32" s="11" t="n">
        <v>1350000</v>
      </c>
      <c r="C32" s="11" t="n">
        <v>0</v>
      </c>
      <c r="D32" s="11" t="n">
        <v>0</v>
      </c>
      <c r="E32" s="8" t="s">
        <v>57</v>
      </c>
    </row>
  </sheetData>
  <mergeCells count="7">
    <mergeCell ref="A1:E1"/>
    <mergeCell ref="A2:E2"/>
    <mergeCell ref="A4:E4"/>
    <mergeCell ref="A10:E10"/>
    <mergeCell ref="A15:E15"/>
    <mergeCell ref="A19:E19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39.75" hidden="false" customHeight="true" outlineLevel="0" collapsed="false">
      <c r="A1" s="1" t="s">
        <v>58</v>
      </c>
      <c r="B1" s="1"/>
      <c r="C1" s="1"/>
      <c r="D1" s="1"/>
      <c r="E1" s="1"/>
    </row>
    <row r="2" customFormat="false" ht="18" hidden="false" customHeight="true" outlineLevel="0" collapsed="false">
      <c r="A2" s="2" t="s">
        <v>59</v>
      </c>
      <c r="B2" s="2"/>
      <c r="C2" s="2"/>
      <c r="D2" s="2"/>
      <c r="E2" s="2"/>
    </row>
    <row r="3" customFormat="false" ht="21.75" hidden="false" customHeight="true" outlineLevel="0" collapsed="false">
      <c r="A3" s="12"/>
      <c r="B3" s="13" t="s">
        <v>3</v>
      </c>
      <c r="C3" s="13" t="s">
        <v>4</v>
      </c>
      <c r="D3" s="13" t="s">
        <v>5</v>
      </c>
      <c r="E3" s="14" t="s">
        <v>6</v>
      </c>
    </row>
    <row r="4" customFormat="false" ht="21.75" hidden="false" customHeight="true" outlineLevel="0" collapsed="false">
      <c r="A4" s="15" t="s">
        <v>60</v>
      </c>
      <c r="B4" s="15"/>
      <c r="C4" s="15"/>
      <c r="D4" s="15"/>
      <c r="E4" s="15"/>
    </row>
    <row r="5" customFormat="false" ht="18" hidden="false" customHeight="true" outlineLevel="0" collapsed="false">
      <c r="A5" s="6" t="s">
        <v>61</v>
      </c>
      <c r="B5" s="16" t="n">
        <f aca="false">Assumptions!B9*Assumptions!B14*12</f>
        <v>4537.44</v>
      </c>
      <c r="C5" s="16" t="n">
        <f aca="false">Assumptions!C9*Assumptions!C14*12</f>
        <v>45192</v>
      </c>
      <c r="D5" s="16" t="n">
        <f aca="false">Assumptions!D9*Assumptions!D14*12</f>
        <v>342144</v>
      </c>
      <c r="E5" s="8" t="s">
        <v>62</v>
      </c>
    </row>
    <row r="6" customFormat="false" ht="18" hidden="false" customHeight="true" outlineLevel="0" collapsed="false">
      <c r="A6" s="6" t="s">
        <v>63</v>
      </c>
      <c r="B6" s="16" t="n">
        <f aca="false">Assumptions!B16*Assumptions!B17/1000*Assumptions!B18*365</f>
        <v>4290.21</v>
      </c>
      <c r="C6" s="16" t="n">
        <f aca="false">Assumptions!C16*Assumptions!C17/1000*Assumptions!C18*365</f>
        <v>31733.1</v>
      </c>
      <c r="D6" s="16" t="n">
        <f aca="false">Assumptions!D16*Assumptions!D17/1000*Assumptions!D18*365</f>
        <v>190792.8</v>
      </c>
      <c r="E6" s="8" t="s">
        <v>64</v>
      </c>
    </row>
    <row r="7" customFormat="false" ht="19.5" hidden="false" customHeight="true" outlineLevel="0" collapsed="false">
      <c r="A7" s="17" t="s">
        <v>65</v>
      </c>
      <c r="B7" s="18" t="n">
        <f aca="false">SUM(B5:B6)</f>
        <v>8827.65</v>
      </c>
      <c r="C7" s="18" t="n">
        <f aca="false">SUM(C5:C6)</f>
        <v>76925.1</v>
      </c>
      <c r="D7" s="18" t="n">
        <f aca="false">SUM(D5:D6)</f>
        <v>532936.8</v>
      </c>
      <c r="E7" s="19"/>
    </row>
    <row r="8" customFormat="false" ht="7.5" hidden="false" customHeight="true" outlineLevel="0" collapsed="false">
      <c r="A8" s="20"/>
      <c r="B8" s="20"/>
      <c r="C8" s="20"/>
      <c r="D8" s="20"/>
      <c r="E8" s="20"/>
    </row>
    <row r="9" customFormat="false" ht="21.75" hidden="false" customHeight="true" outlineLevel="0" collapsed="false">
      <c r="A9" s="15" t="s">
        <v>66</v>
      </c>
      <c r="B9" s="15"/>
      <c r="C9" s="15"/>
      <c r="D9" s="15"/>
      <c r="E9" s="15"/>
    </row>
    <row r="10" customFormat="false" ht="18" hidden="false" customHeight="true" outlineLevel="0" collapsed="false">
      <c r="A10" s="6" t="s">
        <v>67</v>
      </c>
      <c r="B10" s="16" t="n">
        <f aca="false">Assumptions!B20*12</f>
        <v>600</v>
      </c>
      <c r="C10" s="16" t="n">
        <f aca="false">Assumptions!C20*12</f>
        <v>2400</v>
      </c>
      <c r="D10" s="16" t="n">
        <f aca="false">Assumptions!D20*12</f>
        <v>7200</v>
      </c>
      <c r="E10" s="8" t="s">
        <v>68</v>
      </c>
    </row>
    <row r="11" customFormat="false" ht="18" hidden="false" customHeight="true" outlineLevel="0" collapsed="false">
      <c r="A11" s="6" t="s">
        <v>69</v>
      </c>
      <c r="B11" s="16" t="n">
        <f aca="false">B5*Assumptions!B21</f>
        <v>45.3744</v>
      </c>
      <c r="C11" s="16" t="n">
        <f aca="false">C5*Assumptions!C21</f>
        <v>451.92</v>
      </c>
      <c r="D11" s="16" t="n">
        <f aca="false">D5*Assumptions!D21</f>
        <v>3421.44</v>
      </c>
      <c r="E11" s="8" t="s">
        <v>70</v>
      </c>
    </row>
    <row r="12" customFormat="false" ht="18" hidden="false" customHeight="true" outlineLevel="0" collapsed="false">
      <c r="A12" s="6" t="s">
        <v>71</v>
      </c>
      <c r="B12" s="16" t="n">
        <f aca="false">B5*Assumptions!B22</f>
        <v>1361.232</v>
      </c>
      <c r="C12" s="16" t="n">
        <f aca="false">C5*Assumptions!C22</f>
        <v>13557.6</v>
      </c>
      <c r="D12" s="16" t="n">
        <f aca="false">D5*Assumptions!D22</f>
        <v>102643.2</v>
      </c>
      <c r="E12" s="8" t="s">
        <v>72</v>
      </c>
    </row>
    <row r="13" customFormat="false" ht="18" hidden="false" customHeight="true" outlineLevel="0" collapsed="false">
      <c r="A13" s="6" t="s">
        <v>73</v>
      </c>
      <c r="B13" s="16" t="n">
        <f aca="false">Assumptions!B23*12</f>
        <v>0</v>
      </c>
      <c r="C13" s="16" t="n">
        <f aca="false">Assumptions!C23*12</f>
        <v>0</v>
      </c>
      <c r="D13" s="16" t="n">
        <f aca="false">Assumptions!D23*12</f>
        <v>1188</v>
      </c>
      <c r="E13" s="8" t="s">
        <v>74</v>
      </c>
    </row>
    <row r="14" customFormat="false" ht="19.5" hidden="false" customHeight="true" outlineLevel="0" collapsed="false">
      <c r="A14" s="17" t="s">
        <v>75</v>
      </c>
      <c r="B14" s="18" t="n">
        <f aca="false">SUM(B10:B13)</f>
        <v>2006.6064</v>
      </c>
      <c r="C14" s="18" t="n">
        <f aca="false">SUM(C10:C13)</f>
        <v>16409.52</v>
      </c>
      <c r="D14" s="18" t="n">
        <f aca="false">SUM(D10:D13)</f>
        <v>114452.64</v>
      </c>
      <c r="E14" s="19"/>
    </row>
    <row r="15" customFormat="false" ht="7.5" hidden="false" customHeight="true" outlineLevel="0" collapsed="false">
      <c r="A15" s="20"/>
      <c r="B15" s="20"/>
      <c r="C15" s="20"/>
      <c r="D15" s="20"/>
      <c r="E15" s="20"/>
    </row>
    <row r="16" customFormat="false" ht="19.5" hidden="false" customHeight="true" outlineLevel="0" collapsed="false">
      <c r="A16" s="21" t="s">
        <v>76</v>
      </c>
      <c r="B16" s="22" t="n">
        <f aca="false">B7-B14</f>
        <v>6821.0436</v>
      </c>
      <c r="C16" s="22" t="n">
        <f aca="false">C7-C14</f>
        <v>60515.58</v>
      </c>
      <c r="D16" s="22" t="n">
        <f aca="false">D7-D14</f>
        <v>418484.16</v>
      </c>
      <c r="E16" s="23"/>
    </row>
    <row r="17" customFormat="false" ht="18" hidden="false" customHeight="true" outlineLevel="0" collapsed="false">
      <c r="A17" s="24" t="s">
        <v>77</v>
      </c>
      <c r="B17" s="25" t="n">
        <f aca="false">IF(B7=0,0,B16/B7)</f>
        <v>0.772690761414419</v>
      </c>
      <c r="C17" s="25" t="n">
        <f aca="false">IF(C7=0,0,C16/C7)</f>
        <v>0.786681850267338</v>
      </c>
      <c r="D17" s="25" t="n">
        <f aca="false">IF(D7=0,0,D16/D7)</f>
        <v>0.785241627149786</v>
      </c>
      <c r="E17" s="8" t="s">
        <v>78</v>
      </c>
    </row>
    <row r="18" customFormat="false" ht="7.5" hidden="false" customHeight="true" outlineLevel="0" collapsed="false">
      <c r="A18" s="20"/>
      <c r="B18" s="20"/>
      <c r="C18" s="20"/>
      <c r="D18" s="20"/>
      <c r="E18" s="20"/>
    </row>
    <row r="19" customFormat="false" ht="21.75" hidden="false" customHeight="true" outlineLevel="0" collapsed="false">
      <c r="A19" s="15" t="s">
        <v>79</v>
      </c>
      <c r="B19" s="15"/>
      <c r="C19" s="15"/>
      <c r="D19" s="15"/>
      <c r="E19" s="15"/>
    </row>
    <row r="20" customFormat="false" ht="18" hidden="false" customHeight="true" outlineLevel="0" collapsed="false">
      <c r="A20" s="6" t="s">
        <v>80</v>
      </c>
      <c r="B20" s="16" t="n">
        <f aca="false">Assumptions!B24</f>
        <v>80000</v>
      </c>
      <c r="C20" s="16" t="n">
        <f aca="false">Assumptions!C24</f>
        <v>40000</v>
      </c>
      <c r="D20" s="16" t="n">
        <f aca="false">Assumptions!D24</f>
        <v>60000</v>
      </c>
      <c r="E20" s="8" t="s">
        <v>43</v>
      </c>
    </row>
    <row r="21" customFormat="false" ht="18" hidden="false" customHeight="true" outlineLevel="0" collapsed="false">
      <c r="A21" s="6" t="s">
        <v>81</v>
      </c>
      <c r="B21" s="16" t="n">
        <f aca="false">Assumptions!B25</f>
        <v>32000</v>
      </c>
      <c r="C21" s="16" t="n">
        <f aca="false">Assumptions!C25</f>
        <v>24000</v>
      </c>
      <c r="D21" s="16" t="n">
        <f aca="false">Assumptions!D25</f>
        <v>48000</v>
      </c>
      <c r="E21" s="8" t="s">
        <v>82</v>
      </c>
    </row>
    <row r="22" customFormat="false" ht="18" hidden="false" customHeight="true" outlineLevel="0" collapsed="false">
      <c r="A22" s="6" t="s">
        <v>83</v>
      </c>
      <c r="B22" s="16" t="n">
        <f aca="false">Assumptions!B26</f>
        <v>0</v>
      </c>
      <c r="C22" s="16" t="n">
        <f aca="false">Assumptions!C26</f>
        <v>30000</v>
      </c>
      <c r="D22" s="16" t="n">
        <f aca="false">Assumptions!D26</f>
        <v>45000</v>
      </c>
      <c r="E22" s="8" t="s">
        <v>84</v>
      </c>
    </row>
    <row r="23" customFormat="false" ht="18" hidden="false" customHeight="true" outlineLevel="0" collapsed="false">
      <c r="A23" s="6" t="s">
        <v>85</v>
      </c>
      <c r="B23" s="16" t="n">
        <f aca="false">Assumptions!B27</f>
        <v>5000</v>
      </c>
      <c r="C23" s="16" t="n">
        <f aca="false">Assumptions!C27</f>
        <v>6000</v>
      </c>
      <c r="D23" s="16" t="n">
        <f aca="false">Assumptions!D27</f>
        <v>8000</v>
      </c>
      <c r="E23" s="8"/>
    </row>
    <row r="24" customFormat="false" ht="18" hidden="false" customHeight="true" outlineLevel="0" collapsed="false">
      <c r="A24" s="6" t="s">
        <v>86</v>
      </c>
      <c r="B24" s="16" t="n">
        <f aca="false">Assumptions!B28</f>
        <v>3000</v>
      </c>
      <c r="C24" s="16" t="n">
        <f aca="false">Assumptions!C28</f>
        <v>5000</v>
      </c>
      <c r="D24" s="16" t="n">
        <f aca="false">Assumptions!D28</f>
        <v>8000</v>
      </c>
      <c r="E24" s="8" t="s">
        <v>87</v>
      </c>
    </row>
    <row r="25" customFormat="false" ht="19.5" hidden="false" customHeight="true" outlineLevel="0" collapsed="false">
      <c r="A25" s="17" t="s">
        <v>88</v>
      </c>
      <c r="B25" s="18" t="n">
        <f aca="false">SUM(B20:B24)</f>
        <v>120000</v>
      </c>
      <c r="C25" s="18" t="n">
        <f aca="false">SUM(C20:C24)</f>
        <v>105000</v>
      </c>
      <c r="D25" s="18" t="n">
        <f aca="false">SUM(D20:D24)</f>
        <v>169000</v>
      </c>
      <c r="E25" s="19"/>
    </row>
    <row r="26" customFormat="false" ht="7.5" hidden="false" customHeight="true" outlineLevel="0" collapsed="false">
      <c r="A26" s="20"/>
      <c r="B26" s="20"/>
      <c r="C26" s="20"/>
      <c r="D26" s="20"/>
      <c r="E26" s="20"/>
    </row>
    <row r="27" customFormat="false" ht="19.5" hidden="false" customHeight="true" outlineLevel="0" collapsed="false">
      <c r="A27" s="21" t="s">
        <v>89</v>
      </c>
      <c r="B27" s="22" t="n">
        <f aca="false">B16-B25</f>
        <v>-113178.9564</v>
      </c>
      <c r="C27" s="22" t="n">
        <f aca="false">C16-C25</f>
        <v>-44484.42</v>
      </c>
      <c r="D27" s="22" t="n">
        <f aca="false">D16-D25</f>
        <v>249484.16</v>
      </c>
      <c r="E27" s="23"/>
    </row>
    <row r="28" customFormat="false" ht="18" hidden="false" customHeight="true" outlineLevel="0" collapsed="false">
      <c r="A28" s="24" t="s">
        <v>90</v>
      </c>
      <c r="B28" s="25" t="n">
        <f aca="false">IF(B7=0,0,B27/B7)</f>
        <v>-12.8209610032115</v>
      </c>
      <c r="C28" s="25" t="n">
        <f aca="false">IF(C7=0,0,C27/C7)</f>
        <v>-0.578282251176794</v>
      </c>
      <c r="D28" s="25" t="n">
        <f aca="false">IF(D7=0,0,D27/D7)</f>
        <v>0.468130855290909</v>
      </c>
      <c r="E28" s="8" t="s">
        <v>91</v>
      </c>
    </row>
    <row r="29" customFormat="false" ht="7.5" hidden="false" customHeight="true" outlineLevel="0" collapsed="false">
      <c r="A29" s="20"/>
      <c r="B29" s="20"/>
      <c r="C29" s="20"/>
      <c r="D29" s="20"/>
      <c r="E29" s="20"/>
    </row>
    <row r="30" customFormat="false" ht="21.75" hidden="false" customHeight="true" outlineLevel="0" collapsed="false">
      <c r="A30" s="15" t="s">
        <v>92</v>
      </c>
      <c r="B30" s="15"/>
      <c r="C30" s="15"/>
      <c r="D30" s="15"/>
      <c r="E30" s="15"/>
    </row>
    <row r="31" customFormat="false" ht="18" hidden="false" customHeight="true" outlineLevel="0" collapsed="false">
      <c r="A31" s="6" t="s">
        <v>93</v>
      </c>
      <c r="B31" s="16" t="n">
        <f aca="false">IF(B27&gt;0,B27*0.19,0)</f>
        <v>0</v>
      </c>
      <c r="C31" s="16" t="n">
        <f aca="false">IF(C27&gt;0,C27*0.19,0)</f>
        <v>0</v>
      </c>
      <c r="D31" s="16" t="n">
        <f aca="false">IF(D27&gt;0,D27*0.19,0)</f>
        <v>47401.9904</v>
      </c>
      <c r="E31" s="8" t="s">
        <v>94</v>
      </c>
    </row>
    <row r="32" customFormat="false" ht="7.5" hidden="false" customHeight="true" outlineLevel="0" collapsed="false">
      <c r="A32" s="20"/>
      <c r="B32" s="20"/>
      <c r="C32" s="20"/>
      <c r="D32" s="20"/>
      <c r="E32" s="20"/>
    </row>
    <row r="33" customFormat="false" ht="19.5" hidden="false" customHeight="true" outlineLevel="0" collapsed="false">
      <c r="A33" s="21" t="s">
        <v>95</v>
      </c>
      <c r="B33" s="22" t="n">
        <f aca="false">B27-B31</f>
        <v>-113178.9564</v>
      </c>
      <c r="C33" s="22" t="n">
        <f aca="false">C27-C31</f>
        <v>-44484.42</v>
      </c>
      <c r="D33" s="22" t="n">
        <f aca="false">D27-D31</f>
        <v>202082.1696</v>
      </c>
      <c r="E33" s="23"/>
    </row>
    <row r="34" customFormat="false" ht="18" hidden="false" customHeight="true" outlineLevel="0" collapsed="false">
      <c r="A34" s="24" t="s">
        <v>96</v>
      </c>
      <c r="B34" s="25" t="n">
        <f aca="false">IF(B7=0,0,B33/B7)</f>
        <v>-12.8209610032115</v>
      </c>
      <c r="C34" s="25" t="n">
        <f aca="false">IF(C7=0,0,C33/C7)</f>
        <v>-0.578282251176794</v>
      </c>
      <c r="D34" s="25" t="n">
        <f aca="false">IF(D7=0,0,D33/D7)</f>
        <v>0.379185992785636</v>
      </c>
      <c r="E34" s="8" t="s">
        <v>97</v>
      </c>
    </row>
    <row r="35" customFormat="false" ht="7.5" hidden="false" customHeight="true" outlineLevel="0" collapsed="false">
      <c r="A35" s="20"/>
      <c r="B35" s="20"/>
      <c r="C35" s="20"/>
      <c r="D35" s="20"/>
      <c r="E35" s="20"/>
    </row>
    <row r="36" customFormat="false" ht="21.75" hidden="false" customHeight="true" outlineLevel="0" collapsed="false">
      <c r="A36" s="15" t="s">
        <v>98</v>
      </c>
      <c r="B36" s="15"/>
      <c r="C36" s="15"/>
      <c r="D36" s="15"/>
      <c r="E36" s="15"/>
    </row>
    <row r="37" customFormat="false" ht="18" hidden="false" customHeight="true" outlineLevel="0" collapsed="false">
      <c r="A37" s="6" t="s">
        <v>99</v>
      </c>
      <c r="B37" s="16" t="n">
        <f aca="false">Assumptions!B30</f>
        <v>150000</v>
      </c>
      <c r="C37" s="16" t="n">
        <f aca="false">B38</f>
        <v>36821.0436</v>
      </c>
      <c r="D37" s="16" t="n">
        <f aca="false">C38</f>
        <v>-7663.37639999999</v>
      </c>
      <c r="E37" s="8" t="s">
        <v>100</v>
      </c>
    </row>
    <row r="38" customFormat="false" ht="18" hidden="false" customHeight="true" outlineLevel="0" collapsed="false">
      <c r="A38" s="26" t="s">
        <v>101</v>
      </c>
      <c r="B38" s="27" t="n">
        <f aca="false">B37+B33</f>
        <v>36821.0436</v>
      </c>
      <c r="C38" s="27" t="n">
        <f aca="false">C37+C33</f>
        <v>-7663.37639999999</v>
      </c>
      <c r="D38" s="27" t="n">
        <f aca="false">D37+D33</f>
        <v>194418.7932</v>
      </c>
      <c r="E38" s="8" t="s">
        <v>102</v>
      </c>
    </row>
  </sheetData>
  <mergeCells count="7">
    <mergeCell ref="A1:E1"/>
    <mergeCell ref="A2:E2"/>
    <mergeCell ref="A4:E4"/>
    <mergeCell ref="A9:E9"/>
    <mergeCell ref="A19:E19"/>
    <mergeCell ref="A30:E30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6"/>
  </cols>
  <sheetData>
    <row r="1" customFormat="false" ht="39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4" t="s">
        <v>104</v>
      </c>
      <c r="B2" s="28" t="s">
        <v>105</v>
      </c>
      <c r="C2" s="28"/>
      <c r="D2" s="29" t="s">
        <v>106</v>
      </c>
      <c r="E2" s="29"/>
      <c r="F2" s="30" t="s">
        <v>107</v>
      </c>
      <c r="G2" s="30"/>
      <c r="H2" s="4"/>
      <c r="I2" s="4" t="s">
        <v>6</v>
      </c>
    </row>
    <row r="3" customFormat="false" ht="18" hidden="false" customHeight="true" outlineLevel="0" collapsed="false">
      <c r="A3" s="6" t="s">
        <v>108</v>
      </c>
      <c r="B3" s="31" t="n">
        <v>1000</v>
      </c>
      <c r="C3" s="32"/>
      <c r="D3" s="31" t="n">
        <v>2750</v>
      </c>
      <c r="F3" s="31" t="n">
        <v>6000</v>
      </c>
      <c r="G3" s="32"/>
      <c r="H3" s="32"/>
    </row>
    <row r="4" customFormat="false" ht="18" hidden="false" customHeight="true" outlineLevel="0" collapsed="false">
      <c r="A4" s="6" t="s">
        <v>109</v>
      </c>
      <c r="B4" s="33" t="n">
        <v>0.03</v>
      </c>
      <c r="C4" s="32"/>
      <c r="D4" s="33" t="n">
        <v>0.05</v>
      </c>
      <c r="F4" s="33" t="n">
        <v>0.08</v>
      </c>
      <c r="G4" s="32"/>
      <c r="H4" s="32"/>
    </row>
    <row r="5" customFormat="false" ht="18" hidden="false" customHeight="true" outlineLevel="0" collapsed="false">
      <c r="A5" s="6" t="s">
        <v>15</v>
      </c>
      <c r="B5" s="31" t="n">
        <v>30</v>
      </c>
      <c r="C5" s="32"/>
      <c r="D5" s="31" t="n">
        <v>138</v>
      </c>
      <c r="F5" s="31" t="n">
        <v>480</v>
      </c>
      <c r="G5" s="32"/>
      <c r="H5" s="32"/>
    </row>
    <row r="6" customFormat="false" ht="18" hidden="false" customHeight="true" outlineLevel="0" collapsed="false">
      <c r="A6" s="6" t="s">
        <v>110</v>
      </c>
      <c r="B6" s="34" t="n">
        <v>2.74</v>
      </c>
      <c r="C6" s="32"/>
      <c r="D6" s="34" t="n">
        <v>2.74</v>
      </c>
      <c r="F6" s="34" t="n">
        <v>2.99</v>
      </c>
      <c r="G6" s="32"/>
      <c r="H6" s="32"/>
    </row>
    <row r="7" customFormat="false" ht="18" hidden="false" customHeight="true" outlineLevel="0" collapsed="false">
      <c r="A7" s="6" t="s">
        <v>111</v>
      </c>
      <c r="B7" s="16" t="n">
        <f aca="false">B5*B4*12</f>
        <v>10.8</v>
      </c>
      <c r="C7" s="32"/>
      <c r="D7" s="16" t="n">
        <f aca="false">D5*D4*12</f>
        <v>82.8</v>
      </c>
      <c r="F7" s="16" t="n">
        <f aca="false">F5*F4*12</f>
        <v>460.8</v>
      </c>
      <c r="G7" s="32"/>
      <c r="H7" s="32"/>
    </row>
    <row r="8" customFormat="false" ht="18" hidden="false" customHeight="true" outlineLevel="0" collapsed="false">
      <c r="A8" s="6" t="s">
        <v>112</v>
      </c>
      <c r="B8" s="35" t="n">
        <v>4000</v>
      </c>
      <c r="C8" s="32"/>
      <c r="D8" s="35" t="n">
        <v>5200</v>
      </c>
      <c r="F8" s="35" t="n">
        <v>12000</v>
      </c>
      <c r="G8" s="32"/>
      <c r="H8" s="32"/>
    </row>
    <row r="9" customFormat="false" ht="18" hidden="false" customHeight="true" outlineLevel="0" collapsed="false">
      <c r="A9" s="36" t="s">
        <v>65</v>
      </c>
      <c r="B9" s="37" t="n">
        <f aca="false">B6+B7</f>
        <v>13.54</v>
      </c>
      <c r="C9" s="19"/>
      <c r="D9" s="37" t="n">
        <f aca="false">D6+D7</f>
        <v>85.54</v>
      </c>
      <c r="F9" s="37" t="n">
        <f aca="false">F6+F7</f>
        <v>463.79</v>
      </c>
      <c r="G9" s="19"/>
      <c r="H9" s="19"/>
    </row>
    <row r="10" customFormat="false" ht="18" hidden="false" customHeight="true" outlineLevel="0" collapsed="false">
      <c r="A10" s="6" t="s">
        <v>113</v>
      </c>
      <c r="B10" s="35" t="n">
        <v>2000</v>
      </c>
      <c r="C10" s="32"/>
      <c r="D10" s="35" t="n">
        <v>3600</v>
      </c>
      <c r="F10" s="35" t="n">
        <v>8500</v>
      </c>
      <c r="G10" s="32"/>
      <c r="H10" s="32"/>
    </row>
    <row r="11" customFormat="false" ht="18" hidden="false" customHeight="true" outlineLevel="0" collapsed="false">
      <c r="A11" s="36" t="s">
        <v>76</v>
      </c>
      <c r="B11" s="37" t="n">
        <f aca="false">B8-B9</f>
        <v>3986.46</v>
      </c>
      <c r="C11" s="19"/>
      <c r="D11" s="37" t="n">
        <f aca="false">D8-D9</f>
        <v>5114.46</v>
      </c>
      <c r="F11" s="37" t="n">
        <f aca="false">F8-F9</f>
        <v>11536.21</v>
      </c>
      <c r="G11" s="19"/>
      <c r="H11" s="19"/>
    </row>
    <row r="12" customFormat="false" ht="18" hidden="false" customHeight="true" outlineLevel="0" collapsed="false">
      <c r="A12" s="6" t="s">
        <v>114</v>
      </c>
      <c r="B12" s="35" t="n">
        <v>120000</v>
      </c>
      <c r="C12" s="32"/>
      <c r="D12" s="35" t="n">
        <v>120000</v>
      </c>
      <c r="F12" s="35" t="n">
        <v>120000</v>
      </c>
      <c r="G12" s="32"/>
      <c r="H12" s="32"/>
    </row>
    <row r="13" customFormat="false" ht="18" hidden="false" customHeight="true" outlineLevel="0" collapsed="false">
      <c r="A13" s="36" t="s">
        <v>115</v>
      </c>
      <c r="B13" s="37" t="n">
        <f aca="false">B10-B11</f>
        <v>-1986.46</v>
      </c>
      <c r="C13" s="19"/>
      <c r="D13" s="37" t="n">
        <f aca="false">D10-D11</f>
        <v>-1514.46</v>
      </c>
      <c r="F13" s="37" t="n">
        <f aca="false">F10-F11</f>
        <v>-3036.21</v>
      </c>
      <c r="G13" s="19"/>
      <c r="H13" s="19"/>
    </row>
    <row r="14" customFormat="false" ht="18" hidden="false" customHeight="true" outlineLevel="0" collapsed="false">
      <c r="A14" s="6" t="s">
        <v>116</v>
      </c>
      <c r="B14" s="35" t="n">
        <v>150000</v>
      </c>
      <c r="C14" s="32"/>
      <c r="D14" s="35" t="n">
        <v>150000</v>
      </c>
      <c r="F14" s="35" t="n">
        <v>150000</v>
      </c>
      <c r="G14" s="32"/>
      <c r="H14" s="32"/>
    </row>
    <row r="15" customFormat="false" ht="18" hidden="false" customHeight="true" outlineLevel="0" collapsed="false">
      <c r="A15" s="36" t="s">
        <v>117</v>
      </c>
      <c r="B15" s="37" t="n">
        <f aca="false">B13+B12</f>
        <v>118013.54</v>
      </c>
      <c r="C15" s="19"/>
      <c r="D15" s="37" t="n">
        <f aca="false">D13+D12</f>
        <v>118485.54</v>
      </c>
      <c r="F15" s="37" t="n">
        <f aca="false">F13+F12</f>
        <v>116963.79</v>
      </c>
      <c r="G15" s="19"/>
      <c r="H15" s="19"/>
    </row>
  </sheetData>
  <mergeCells count="4">
    <mergeCell ref="A1:I1"/>
    <mergeCell ref="B2:C2"/>
    <mergeCell ref="D2:E2"/>
    <mergeCell ref="F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2026-03-25T23:33:47Z</dcterms:created>
  <dc:creator>openpyxl</dc:creator>
  <dc:description/>
  <dc:language>en-US</dc:language>
  <cp:lastModifiedBy/>
  <dcterms:modified xsi:type="dcterms:W3CDTF">2026-03-25T23:33:47Z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